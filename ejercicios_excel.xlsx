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8_{A402D19C-56E5-4825-BB32-D3FA48B35710}" xr6:coauthVersionLast="36" xr6:coauthVersionMax="36" xr10:uidLastSave="{00000000-0000-0000-0000-000000000000}"/>
  <bookViews>
    <workbookView xWindow="0" yWindow="0" windowWidth="15345" windowHeight="4590" tabRatio="724" firstSheet="1" activeTab="3" xr2:uid="{00000000-000D-0000-FFFF-FFFF00000000}"/>
  </bookViews>
  <sheets>
    <sheet name="Indice" sheetId="1" r:id="rId1"/>
    <sheet name="1_Gastos_Basico" sheetId="2" r:id="rId2"/>
    <sheet name="5_Fechas_Texto" sheetId="6" r:id="rId3"/>
    <sheet name="9_Funciones_Financieras" sheetId="10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10" l="1"/>
  <c r="F5" i="10"/>
  <c r="B16" i="10"/>
  <c r="F6" i="10"/>
  <c r="F7" i="10"/>
  <c r="F8" i="10"/>
  <c r="F9" i="10"/>
  <c r="E6" i="10"/>
  <c r="E7" i="10"/>
  <c r="E8" i="10"/>
  <c r="E9" i="10"/>
  <c r="D6" i="10"/>
  <c r="D7" i="10"/>
  <c r="D8" i="10"/>
  <c r="D9" i="10"/>
  <c r="D5" i="10"/>
</calcChain>
</file>

<file path=xl/sharedStrings.xml><?xml version="1.0" encoding="utf-8"?>
<sst xmlns="http://schemas.openxmlformats.org/spreadsheetml/2006/main" count="146" uniqueCount="102">
  <si>
    <t>10 ejercicios de Excel</t>
  </si>
  <si>
    <t>Datos de práctica listos, cada hoja con su consigna. Resuelve directo sobre el archivo.</t>
  </si>
  <si>
    <t>Hoja</t>
  </si>
  <si>
    <t>Qué practica</t>
  </si>
  <si>
    <t>1_Gastos_Basico</t>
  </si>
  <si>
    <t>SUMA, PROMEDIO y MAX sobre un registro de gastos personales.</t>
  </si>
  <si>
    <t>2_SumarSiConjunto</t>
  </si>
  <si>
    <t>Clasificar con SI y sumar por categoría con SUMAR.SI.CONJUNTO.</t>
  </si>
  <si>
    <t>3_BuscarV_BuscarX</t>
  </si>
  <si>
    <t>Búsqueda de empleados: primero con BUSCARV, luego con BUSCARX.</t>
  </si>
  <si>
    <t>4_Indice_Coincidir</t>
  </si>
  <si>
    <t>Búsqueda cruzada (producto x región) con INDICE + COINCIDIR.</t>
  </si>
  <si>
    <t>5_Fechas_Texto</t>
  </si>
  <si>
    <t>Unir nombres, calcular antigüedad con SIFECHA y extraer el mes con TEXTO.</t>
  </si>
  <si>
    <t>6_Formato_Condicional</t>
  </si>
  <si>
    <t>Resaltar duplicados, rangos y filas completas con fórmula.</t>
  </si>
  <si>
    <t>7_Si_Anidado_Contar</t>
  </si>
  <si>
    <t>Asignar concepto con SI anidado y contar aprobados con CONTAR.SI.</t>
  </si>
  <si>
    <t>8_Limpieza_Datos</t>
  </si>
  <si>
    <t>Limpiar texto sucio: ESPACIOS, MAYUSC/MINUSC, NOMPROPIO, Texto en Columnas.</t>
  </si>
  <si>
    <t>9_Funciones_Financieras</t>
  </si>
  <si>
    <t>Descuento + IVA con REDONDEAR y cuota de préstamo con PAGO.</t>
  </si>
  <si>
    <t>10_Validacion_Datos</t>
  </si>
  <si>
    <t>Listas desplegables dependientes con Validación de Datos e INDIRECTO.</t>
  </si>
  <si>
    <t>Convención en todas las hojas:</t>
  </si>
  <si>
    <t>Celda amarilla = escribe tu fórmula ahí. No hay soluciones en el archivo.</t>
  </si>
  <si>
    <t>Ejercicio 1 — SUMA, PROMEDIO y MAX</t>
  </si>
  <si>
    <t>Consigna: calcula el total, el promedio y el gasto máximo de los tres meses en las celdas amarillas (columna B, filas 35-37).</t>
  </si>
  <si>
    <t>Fecha</t>
  </si>
  <si>
    <t>Categoría</t>
  </si>
  <si>
    <t>Descripción</t>
  </si>
  <si>
    <t>Monto</t>
  </si>
  <si>
    <t>Fijo</t>
  </si>
  <si>
    <t>Seguro</t>
  </si>
  <si>
    <t>Variable</t>
  </si>
  <si>
    <t>Farmacia</t>
  </si>
  <si>
    <t>Ocio</t>
  </si>
  <si>
    <t>Cine</t>
  </si>
  <si>
    <t>Suscripción streaming</t>
  </si>
  <si>
    <t>Transporte</t>
  </si>
  <si>
    <t>Internet</t>
  </si>
  <si>
    <t>Mercado</t>
  </si>
  <si>
    <t>Videojuego</t>
  </si>
  <si>
    <t>Servicios públicos</t>
  </si>
  <si>
    <t>Gasolina</t>
  </si>
  <si>
    <t>Concierto</t>
  </si>
  <si>
    <t>Restaurante</t>
  </si>
  <si>
    <t>Arriendo</t>
  </si>
  <si>
    <t>Total</t>
  </si>
  <si>
    <t>Promedio</t>
  </si>
  <si>
    <t>Máximo</t>
  </si>
  <si>
    <t>Nombre</t>
  </si>
  <si>
    <t>Producto</t>
  </si>
  <si>
    <t>Laptop</t>
  </si>
  <si>
    <t>Monitor</t>
  </si>
  <si>
    <t>Teclado</t>
  </si>
  <si>
    <t>Mouse</t>
  </si>
  <si>
    <t>Impresora</t>
  </si>
  <si>
    <t>Ejercicio 5 — Fechas y texto</t>
  </si>
  <si>
    <t>Consigna: en la columna D (amarilla) une nombre y apellido con CONCAT o TEXTUNIR. En la columna E, calcula la antigüedad en años con SIFECHA(fecha,HOY(),"y"). En la columna F, extrae el nombre del mes de ingreso con TEXTO(fecha,"mmmm").</t>
  </si>
  <si>
    <t>Apellido</t>
  </si>
  <si>
    <t>Fecha de ingreso</t>
  </si>
  <si>
    <t>Nombre completo</t>
  </si>
  <si>
    <t>Antigüedad (años)</t>
  </si>
  <si>
    <t>Mes de ingreso</t>
  </si>
  <si>
    <t>Valentina</t>
  </si>
  <si>
    <t>Ríos</t>
  </si>
  <si>
    <t>Santiago</t>
  </si>
  <si>
    <t>Suárez</t>
  </si>
  <si>
    <t>Isabella</t>
  </si>
  <si>
    <t>Molina</t>
  </si>
  <si>
    <t>Mateo</t>
  </si>
  <si>
    <t>Cárdenas</t>
  </si>
  <si>
    <t>Camila</t>
  </si>
  <si>
    <t>Beltrán</t>
  </si>
  <si>
    <t>Juan</t>
  </si>
  <si>
    <t>Pardo</t>
  </si>
  <si>
    <t>Daniela</t>
  </si>
  <si>
    <t>Núñez</t>
  </si>
  <si>
    <t>Nicolás</t>
  </si>
  <si>
    <t>Vargas</t>
  </si>
  <si>
    <t>Gabriela</t>
  </si>
  <si>
    <t>Cortés</t>
  </si>
  <si>
    <t>Julián</t>
  </si>
  <si>
    <t>Zapata</t>
  </si>
  <si>
    <t>Mariana</t>
  </si>
  <si>
    <t>Herrera</t>
  </si>
  <si>
    <t>Esteban</t>
  </si>
  <si>
    <t>Rojas</t>
  </si>
  <si>
    <t>Ejercicio 9 — Funciones financieras y redondeo</t>
  </si>
  <si>
    <t>Parte A — Consigna: en D (amarilla) calcula el precio con descuento = Precio*(1-Descuento). En E, el IVA (19%) sobre ese valor. En F, el precio final, todo redondeado a entero con REDONDEAR.</t>
  </si>
  <si>
    <t>Precio</t>
  </si>
  <si>
    <t>Descuento</t>
  </si>
  <si>
    <t>Precio con desc.</t>
  </si>
  <si>
    <t>IVA (19%)</t>
  </si>
  <si>
    <t>Precio final</t>
  </si>
  <si>
    <t>Parte B — Cuota de un préstamo con PAGO (PMT)</t>
  </si>
  <si>
    <t>Consigna: en B16 calcula la cuota mensual con PAGO(tasa,núm_cuotas,-monto).</t>
  </si>
  <si>
    <t>Monto del préstamo</t>
  </si>
  <si>
    <t>Tasa mensual</t>
  </si>
  <si>
    <t>Número de cuotas</t>
  </si>
  <si>
    <t>Cuota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</si>
</sst>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$#,##0"/>
    <numFmt numFmtId="166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0" xfId="0" applyFont="1"/>
    <xf numFmtId="164" fontId="4" fillId="0" borderId="1" xfId="0" applyNumberFormat="1" applyFont="1" applyBorder="1"/>
    <xf numFmtId="165" fontId="4" fillId="0" borderId="1" xfId="0" applyNumberFormat="1" applyFont="1" applyBorder="1"/>
    <xf numFmtId="165" fontId="0" fillId="3" borderId="1" xfId="0" applyNumberFormat="1" applyFill="1" applyBorder="1"/>
    <xf numFmtId="0" fontId="0" fillId="3" borderId="1" xfId="0" applyFill="1" applyBorder="1"/>
    <xf numFmtId="9" fontId="4" fillId="0" borderId="1" xfId="0" applyNumberFormat="1" applyFont="1" applyBorder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zoomScaleNormal="100" workbookViewId="0"/>
  </sheetViews>
  <sheetFormatPr baseColWidth="10" defaultColWidth="8.7109375" defaultRowHeight="15" x14ac:dyDescent="0.25"/>
  <cols>
    <col min="1" max="1" width="3" customWidth="1"/>
    <col min="2" max="2" width="26" customWidth="1"/>
    <col min="3" max="3" width="70" customWidth="1"/>
  </cols>
  <sheetData>
    <row r="2" spans="2:3" ht="18" x14ac:dyDescent="0.25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3" t="s">
        <v>3</v>
      </c>
    </row>
    <row r="6" spans="2:3" x14ac:dyDescent="0.25">
      <c r="B6" s="4" t="s">
        <v>4</v>
      </c>
      <c r="C6" s="4" t="s">
        <v>5</v>
      </c>
    </row>
    <row r="7" spans="2:3" x14ac:dyDescent="0.25">
      <c r="B7" s="4" t="s">
        <v>6</v>
      </c>
      <c r="C7" s="4" t="s">
        <v>7</v>
      </c>
    </row>
    <row r="8" spans="2:3" x14ac:dyDescent="0.25">
      <c r="B8" s="4" t="s">
        <v>8</v>
      </c>
      <c r="C8" s="4" t="s">
        <v>9</v>
      </c>
    </row>
    <row r="9" spans="2:3" x14ac:dyDescent="0.25">
      <c r="B9" s="4" t="s">
        <v>10</v>
      </c>
      <c r="C9" s="4" t="s">
        <v>11</v>
      </c>
    </row>
    <row r="10" spans="2:3" x14ac:dyDescent="0.25">
      <c r="B10" s="4" t="s">
        <v>12</v>
      </c>
      <c r="C10" s="4" t="s">
        <v>13</v>
      </c>
    </row>
    <row r="11" spans="2:3" x14ac:dyDescent="0.25">
      <c r="B11" s="4" t="s">
        <v>14</v>
      </c>
      <c r="C11" s="4" t="s">
        <v>15</v>
      </c>
    </row>
    <row r="12" spans="2:3" x14ac:dyDescent="0.25">
      <c r="B12" s="4" t="s">
        <v>16</v>
      </c>
      <c r="C12" s="4" t="s">
        <v>17</v>
      </c>
    </row>
    <row r="13" spans="2:3" x14ac:dyDescent="0.25">
      <c r="B13" s="4" t="s">
        <v>18</v>
      </c>
      <c r="C13" s="4" t="s">
        <v>19</v>
      </c>
    </row>
    <row r="14" spans="2:3" x14ac:dyDescent="0.25">
      <c r="B14" s="4" t="s">
        <v>20</v>
      </c>
      <c r="C14" s="4" t="s">
        <v>21</v>
      </c>
    </row>
    <row r="15" spans="2:3" x14ac:dyDescent="0.25">
      <c r="B15" s="4" t="s">
        <v>22</v>
      </c>
      <c r="C15" s="4" t="s">
        <v>23</v>
      </c>
    </row>
    <row r="18" spans="2:2" x14ac:dyDescent="0.25">
      <c r="B18" s="5" t="s">
        <v>24</v>
      </c>
    </row>
    <row r="19" spans="2:2" x14ac:dyDescent="0.25">
      <c r="B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topLeftCell="A20" zoomScaleNormal="100" workbookViewId="0"/>
  </sheetViews>
  <sheetFormatPr baseColWidth="10" defaultColWidth="8.7109375" defaultRowHeight="15" x14ac:dyDescent="0.25"/>
  <cols>
    <col min="1" max="1" width="14" customWidth="1"/>
    <col min="2" max="2" width="12" customWidth="1"/>
    <col min="3" max="3" width="22" customWidth="1"/>
    <col min="4" max="4" width="16" customWidth="1"/>
  </cols>
  <sheetData>
    <row r="1" spans="1:4" ht="18" x14ac:dyDescent="0.25">
      <c r="A1" s="1" t="s">
        <v>26</v>
      </c>
    </row>
    <row r="2" spans="1:4" x14ac:dyDescent="0.25">
      <c r="A2" s="2" t="s">
        <v>27</v>
      </c>
    </row>
    <row r="4" spans="1:4" x14ac:dyDescent="0.25">
      <c r="A4" s="3" t="s">
        <v>28</v>
      </c>
      <c r="B4" s="3" t="s">
        <v>29</v>
      </c>
      <c r="C4" s="3" t="s">
        <v>30</v>
      </c>
      <c r="D4" s="3" t="s">
        <v>31</v>
      </c>
    </row>
    <row r="5" spans="1:4" x14ac:dyDescent="0.25">
      <c r="A5" s="6">
        <v>46174</v>
      </c>
      <c r="B5" s="4" t="s">
        <v>32</v>
      </c>
      <c r="C5" s="4" t="s">
        <v>33</v>
      </c>
      <c r="D5" s="7">
        <v>94088</v>
      </c>
    </row>
    <row r="6" spans="1:4" x14ac:dyDescent="0.25">
      <c r="A6" s="6">
        <v>46177</v>
      </c>
      <c r="B6" s="4" t="s">
        <v>34</v>
      </c>
      <c r="C6" s="4" t="s">
        <v>35</v>
      </c>
      <c r="D6" s="7">
        <v>356277</v>
      </c>
    </row>
    <row r="7" spans="1:4" x14ac:dyDescent="0.25">
      <c r="A7" s="6">
        <v>46180</v>
      </c>
      <c r="B7" s="4" t="s">
        <v>36</v>
      </c>
      <c r="C7" s="4" t="s">
        <v>37</v>
      </c>
      <c r="D7" s="7">
        <v>52977</v>
      </c>
    </row>
    <row r="8" spans="1:4" x14ac:dyDescent="0.25">
      <c r="A8" s="6">
        <v>46183</v>
      </c>
      <c r="B8" s="4" t="s">
        <v>32</v>
      </c>
      <c r="C8" s="4" t="s">
        <v>38</v>
      </c>
      <c r="D8" s="7">
        <v>64351</v>
      </c>
    </row>
    <row r="9" spans="1:4" x14ac:dyDescent="0.25">
      <c r="A9" s="6">
        <v>46186</v>
      </c>
      <c r="B9" s="4" t="s">
        <v>34</v>
      </c>
      <c r="C9" s="4" t="s">
        <v>39</v>
      </c>
      <c r="D9" s="7">
        <v>320548</v>
      </c>
    </row>
    <row r="10" spans="1:4" x14ac:dyDescent="0.25">
      <c r="A10" s="6">
        <v>46189</v>
      </c>
      <c r="B10" s="4" t="s">
        <v>36</v>
      </c>
      <c r="C10" s="4" t="s">
        <v>37</v>
      </c>
      <c r="D10" s="7">
        <v>281042</v>
      </c>
    </row>
    <row r="11" spans="1:4" x14ac:dyDescent="0.25">
      <c r="A11" s="6">
        <v>46192</v>
      </c>
      <c r="B11" s="4" t="s">
        <v>32</v>
      </c>
      <c r="C11" s="4" t="s">
        <v>40</v>
      </c>
      <c r="D11" s="7">
        <v>34658</v>
      </c>
    </row>
    <row r="12" spans="1:4" x14ac:dyDescent="0.25">
      <c r="A12" s="6">
        <v>46195</v>
      </c>
      <c r="B12" s="4" t="s">
        <v>34</v>
      </c>
      <c r="C12" s="4" t="s">
        <v>41</v>
      </c>
      <c r="D12" s="7">
        <v>242355</v>
      </c>
    </row>
    <row r="13" spans="1:4" x14ac:dyDescent="0.25">
      <c r="A13" s="6">
        <v>46198</v>
      </c>
      <c r="B13" s="4" t="s">
        <v>36</v>
      </c>
      <c r="C13" s="4" t="s">
        <v>42</v>
      </c>
      <c r="D13" s="7">
        <v>51624</v>
      </c>
    </row>
    <row r="14" spans="1:4" x14ac:dyDescent="0.25">
      <c r="A14" s="6">
        <v>46201</v>
      </c>
      <c r="B14" s="4" t="s">
        <v>32</v>
      </c>
      <c r="C14" s="4" t="s">
        <v>40</v>
      </c>
      <c r="D14" s="7">
        <v>62559</v>
      </c>
    </row>
    <row r="15" spans="1:4" x14ac:dyDescent="0.25">
      <c r="A15" s="6">
        <v>46204</v>
      </c>
      <c r="B15" s="4" t="s">
        <v>34</v>
      </c>
      <c r="C15" s="4" t="s">
        <v>43</v>
      </c>
      <c r="D15" s="7">
        <v>237570</v>
      </c>
    </row>
    <row r="16" spans="1:4" x14ac:dyDescent="0.25">
      <c r="A16" s="6">
        <v>46207</v>
      </c>
      <c r="B16" s="4" t="s">
        <v>36</v>
      </c>
      <c r="C16" s="4" t="s">
        <v>37</v>
      </c>
      <c r="D16" s="7">
        <v>448508</v>
      </c>
    </row>
    <row r="17" spans="1:4" x14ac:dyDescent="0.25">
      <c r="A17" s="6">
        <v>46210</v>
      </c>
      <c r="B17" s="4" t="s">
        <v>32</v>
      </c>
      <c r="C17" s="4" t="s">
        <v>38</v>
      </c>
      <c r="D17" s="7">
        <v>79907</v>
      </c>
    </row>
    <row r="18" spans="1:4" x14ac:dyDescent="0.25">
      <c r="A18" s="6">
        <v>46213</v>
      </c>
      <c r="B18" s="4" t="s">
        <v>34</v>
      </c>
      <c r="C18" s="4" t="s">
        <v>44</v>
      </c>
      <c r="D18" s="7">
        <v>345629</v>
      </c>
    </row>
    <row r="19" spans="1:4" x14ac:dyDescent="0.25">
      <c r="A19" s="6">
        <v>46216</v>
      </c>
      <c r="B19" s="4" t="s">
        <v>36</v>
      </c>
      <c r="C19" s="4" t="s">
        <v>45</v>
      </c>
      <c r="D19" s="7">
        <v>47433</v>
      </c>
    </row>
    <row r="20" spans="1:4" x14ac:dyDescent="0.25">
      <c r="A20" s="6">
        <v>46219</v>
      </c>
      <c r="B20" s="4" t="s">
        <v>32</v>
      </c>
      <c r="C20" s="4" t="s">
        <v>38</v>
      </c>
      <c r="D20" s="7">
        <v>321992</v>
      </c>
    </row>
    <row r="21" spans="1:4" x14ac:dyDescent="0.25">
      <c r="A21" s="6">
        <v>46222</v>
      </c>
      <c r="B21" s="4" t="s">
        <v>34</v>
      </c>
      <c r="C21" s="4" t="s">
        <v>35</v>
      </c>
      <c r="D21" s="7">
        <v>40999</v>
      </c>
    </row>
    <row r="22" spans="1:4" x14ac:dyDescent="0.25">
      <c r="A22" s="6">
        <v>46225</v>
      </c>
      <c r="B22" s="4" t="s">
        <v>36</v>
      </c>
      <c r="C22" s="4" t="s">
        <v>46</v>
      </c>
      <c r="D22" s="7">
        <v>39422</v>
      </c>
    </row>
    <row r="23" spans="1:4" x14ac:dyDescent="0.25">
      <c r="A23" s="6">
        <v>46228</v>
      </c>
      <c r="B23" s="4" t="s">
        <v>32</v>
      </c>
      <c r="C23" s="4" t="s">
        <v>38</v>
      </c>
      <c r="D23" s="7">
        <v>84821</v>
      </c>
    </row>
    <row r="24" spans="1:4" x14ac:dyDescent="0.25">
      <c r="A24" s="6">
        <v>46231</v>
      </c>
      <c r="B24" s="4" t="s">
        <v>34</v>
      </c>
      <c r="C24" s="4" t="s">
        <v>39</v>
      </c>
      <c r="D24" s="7">
        <v>234749</v>
      </c>
    </row>
    <row r="25" spans="1:4" x14ac:dyDescent="0.25">
      <c r="A25" s="6">
        <v>46234</v>
      </c>
      <c r="B25" s="4" t="s">
        <v>36</v>
      </c>
      <c r="C25" s="4" t="s">
        <v>46</v>
      </c>
      <c r="D25" s="7">
        <v>298475</v>
      </c>
    </row>
    <row r="26" spans="1:4" x14ac:dyDescent="0.25">
      <c r="A26" s="6">
        <v>46237</v>
      </c>
      <c r="B26" s="4" t="s">
        <v>32</v>
      </c>
      <c r="C26" s="4" t="s">
        <v>47</v>
      </c>
      <c r="D26" s="7">
        <v>314323</v>
      </c>
    </row>
    <row r="27" spans="1:4" x14ac:dyDescent="0.25">
      <c r="A27" s="6">
        <v>46240</v>
      </c>
      <c r="B27" s="4" t="s">
        <v>34</v>
      </c>
      <c r="C27" s="4" t="s">
        <v>39</v>
      </c>
      <c r="D27" s="7">
        <v>308736</v>
      </c>
    </row>
    <row r="28" spans="1:4" x14ac:dyDescent="0.25">
      <c r="A28" s="6">
        <v>46243</v>
      </c>
      <c r="B28" s="4" t="s">
        <v>36</v>
      </c>
      <c r="C28" s="4" t="s">
        <v>46</v>
      </c>
      <c r="D28" s="7">
        <v>69030</v>
      </c>
    </row>
    <row r="29" spans="1:4" x14ac:dyDescent="0.25">
      <c r="A29" s="6">
        <v>46246</v>
      </c>
      <c r="B29" s="4" t="s">
        <v>32</v>
      </c>
      <c r="C29" s="4" t="s">
        <v>38</v>
      </c>
      <c r="D29" s="7">
        <v>314475</v>
      </c>
    </row>
    <row r="30" spans="1:4" x14ac:dyDescent="0.25">
      <c r="A30" s="6">
        <v>46249</v>
      </c>
      <c r="B30" s="4" t="s">
        <v>34</v>
      </c>
      <c r="C30" s="4" t="s">
        <v>44</v>
      </c>
      <c r="D30" s="7">
        <v>210243</v>
      </c>
    </row>
    <row r="31" spans="1:4" x14ac:dyDescent="0.25">
      <c r="A31" s="6">
        <v>46252</v>
      </c>
      <c r="B31" s="4" t="s">
        <v>36</v>
      </c>
      <c r="C31" s="4" t="s">
        <v>37</v>
      </c>
      <c r="D31" s="7">
        <v>302175</v>
      </c>
    </row>
    <row r="32" spans="1:4" x14ac:dyDescent="0.25">
      <c r="A32" s="6">
        <v>46255</v>
      </c>
      <c r="B32" s="4" t="s">
        <v>32</v>
      </c>
      <c r="C32" s="4" t="s">
        <v>47</v>
      </c>
      <c r="D32" s="7">
        <v>310891</v>
      </c>
    </row>
    <row r="33" spans="1:4" x14ac:dyDescent="0.25">
      <c r="A33" s="6">
        <v>46258</v>
      </c>
      <c r="B33" s="4" t="s">
        <v>34</v>
      </c>
      <c r="C33" s="4" t="s">
        <v>41</v>
      </c>
      <c r="D33" s="7">
        <v>339539</v>
      </c>
    </row>
    <row r="34" spans="1:4" x14ac:dyDescent="0.25">
      <c r="A34" s="6">
        <v>46261</v>
      </c>
      <c r="B34" s="4" t="s">
        <v>36</v>
      </c>
      <c r="C34" s="4" t="s">
        <v>46</v>
      </c>
      <c r="D34" s="7">
        <v>275264</v>
      </c>
    </row>
    <row r="35" spans="1:4" x14ac:dyDescent="0.25">
      <c r="A35" s="5" t="s">
        <v>48</v>
      </c>
      <c r="B35" s="8"/>
    </row>
    <row r="36" spans="1:4" x14ac:dyDescent="0.25">
      <c r="A36" s="5" t="s">
        <v>49</v>
      </c>
      <c r="B36" s="8"/>
    </row>
    <row r="37" spans="1:4" x14ac:dyDescent="0.25">
      <c r="A37" s="5" t="s">
        <v>50</v>
      </c>
      <c r="B37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zoomScaleNormal="100" workbookViewId="0"/>
  </sheetViews>
  <sheetFormatPr baseColWidth="10" defaultColWidth="8.7109375" defaultRowHeight="15" x14ac:dyDescent="0.25"/>
  <cols>
    <col min="1" max="2" width="12" customWidth="1"/>
    <col min="3" max="3" width="16" customWidth="1"/>
    <col min="4" max="4" width="22" customWidth="1"/>
    <col min="5" max="5" width="18" customWidth="1"/>
    <col min="6" max="6" width="16" customWidth="1"/>
  </cols>
  <sheetData>
    <row r="1" spans="1:6" ht="18" x14ac:dyDescent="0.25">
      <c r="A1" s="1" t="s">
        <v>58</v>
      </c>
    </row>
    <row r="2" spans="1:6" x14ac:dyDescent="0.25">
      <c r="A2" s="2" t="s">
        <v>59</v>
      </c>
    </row>
    <row r="4" spans="1:6" x14ac:dyDescent="0.25">
      <c r="A4" s="3" t="s">
        <v>51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64</v>
      </c>
    </row>
    <row r="5" spans="1:6" x14ac:dyDescent="0.25">
      <c r="A5" s="4" t="s">
        <v>65</v>
      </c>
      <c r="B5" s="4" t="s">
        <v>66</v>
      </c>
      <c r="C5" s="6">
        <v>42347</v>
      </c>
      <c r="D5" s="9"/>
      <c r="E5" s="9"/>
      <c r="F5" s="9"/>
    </row>
    <row r="6" spans="1:6" x14ac:dyDescent="0.25">
      <c r="A6" s="4" t="s">
        <v>67</v>
      </c>
      <c r="B6" s="4" t="s">
        <v>68</v>
      </c>
      <c r="C6" s="6">
        <v>45521</v>
      </c>
      <c r="D6" s="9"/>
      <c r="E6" s="9"/>
      <c r="F6" s="9"/>
    </row>
    <row r="7" spans="1:6" x14ac:dyDescent="0.25">
      <c r="A7" s="4" t="s">
        <v>69</v>
      </c>
      <c r="B7" s="4" t="s">
        <v>70</v>
      </c>
      <c r="C7" s="6">
        <v>45318</v>
      </c>
      <c r="D7" s="9"/>
      <c r="E7" s="9"/>
      <c r="F7" s="9"/>
    </row>
    <row r="8" spans="1:6" x14ac:dyDescent="0.25">
      <c r="A8" s="4" t="s">
        <v>71</v>
      </c>
      <c r="B8" s="4" t="s">
        <v>72</v>
      </c>
      <c r="C8" s="6">
        <v>43873</v>
      </c>
      <c r="D8" s="9"/>
      <c r="E8" s="9"/>
      <c r="F8" s="9"/>
    </row>
    <row r="9" spans="1:6" x14ac:dyDescent="0.25">
      <c r="A9" s="4" t="s">
        <v>73</v>
      </c>
      <c r="B9" s="4" t="s">
        <v>74</v>
      </c>
      <c r="C9" s="6">
        <v>42201</v>
      </c>
      <c r="D9" s="9"/>
      <c r="E9" s="9"/>
      <c r="F9" s="9"/>
    </row>
    <row r="10" spans="1:6" x14ac:dyDescent="0.25">
      <c r="A10" s="4" t="s">
        <v>75</v>
      </c>
      <c r="B10" s="4" t="s">
        <v>76</v>
      </c>
      <c r="C10" s="6">
        <v>45552</v>
      </c>
      <c r="D10" s="9"/>
      <c r="E10" s="9"/>
      <c r="F10" s="9"/>
    </row>
    <row r="11" spans="1:6" x14ac:dyDescent="0.25">
      <c r="A11" s="4" t="s">
        <v>77</v>
      </c>
      <c r="B11" s="4" t="s">
        <v>78</v>
      </c>
      <c r="C11" s="6">
        <v>45587</v>
      </c>
      <c r="D11" s="9"/>
      <c r="E11" s="9"/>
      <c r="F11" s="9"/>
    </row>
    <row r="12" spans="1:6" x14ac:dyDescent="0.25">
      <c r="A12" s="4" t="s">
        <v>79</v>
      </c>
      <c r="B12" s="4" t="s">
        <v>80</v>
      </c>
      <c r="C12" s="6">
        <v>43548</v>
      </c>
      <c r="D12" s="9"/>
      <c r="E12" s="9"/>
      <c r="F12" s="9"/>
    </row>
    <row r="13" spans="1:6" x14ac:dyDescent="0.25">
      <c r="A13" s="4" t="s">
        <v>81</v>
      </c>
      <c r="B13" s="4" t="s">
        <v>82</v>
      </c>
      <c r="C13" s="6">
        <v>42434</v>
      </c>
      <c r="D13" s="9"/>
      <c r="E13" s="9"/>
      <c r="F13" s="9"/>
    </row>
    <row r="14" spans="1:6" x14ac:dyDescent="0.25">
      <c r="A14" s="4" t="s">
        <v>83</v>
      </c>
      <c r="B14" s="4" t="s">
        <v>84</v>
      </c>
      <c r="C14" s="6">
        <v>43753</v>
      </c>
      <c r="D14" s="9"/>
      <c r="E14" s="9"/>
      <c r="F14" s="9"/>
    </row>
    <row r="15" spans="1:6" x14ac:dyDescent="0.25">
      <c r="A15" s="4" t="s">
        <v>85</v>
      </c>
      <c r="B15" s="4" t="s">
        <v>86</v>
      </c>
      <c r="C15" s="6">
        <v>42924</v>
      </c>
      <c r="D15" s="9"/>
      <c r="E15" s="9"/>
      <c r="F15" s="9"/>
    </row>
    <row r="16" spans="1:6" x14ac:dyDescent="0.25">
      <c r="A16" s="4" t="s">
        <v>87</v>
      </c>
      <c r="B16" s="4" t="s">
        <v>88</v>
      </c>
      <c r="C16" s="6">
        <v>43242</v>
      </c>
      <c r="D16" s="9"/>
      <c r="E16" s="9"/>
      <c r="F16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tabSelected="1" zoomScaleNormal="100" workbookViewId="0">
      <selection activeCell="G9" sqref="G9"/>
    </sheetView>
  </sheetViews>
  <sheetFormatPr baseColWidth="10" defaultColWidth="8.7109375" defaultRowHeight="15" x14ac:dyDescent="0.25"/>
  <cols>
    <col min="1" max="1" width="26" customWidth="1"/>
    <col min="2" max="2" width="16" customWidth="1"/>
    <col min="3" max="3" width="12" customWidth="1"/>
    <col min="4" max="4" width="34" customWidth="1"/>
    <col min="5" max="6" width="14" customWidth="1"/>
    <col min="7" max="7" width="11.85546875" bestFit="1" customWidth="1"/>
  </cols>
  <sheetData>
    <row r="1" spans="1:7" ht="18" x14ac:dyDescent="0.25">
      <c r="A1" s="1" t="s">
        <v>89</v>
      </c>
    </row>
    <row r="2" spans="1:7" x14ac:dyDescent="0.25">
      <c r="A2" s="2" t="s">
        <v>90</v>
      </c>
    </row>
    <row r="4" spans="1:7" x14ac:dyDescent="0.25">
      <c r="A4" s="3" t="s">
        <v>52</v>
      </c>
      <c r="B4" s="3" t="s">
        <v>91</v>
      </c>
      <c r="C4" s="3" t="s">
        <v>92</v>
      </c>
      <c r="D4" s="3" t="s">
        <v>93</v>
      </c>
      <c r="E4" s="3" t="s">
        <v>94</v>
      </c>
      <c r="F4" s="3" t="s">
        <v>95</v>
      </c>
    </row>
    <row r="5" spans="1:7" x14ac:dyDescent="0.25">
      <c r="A5" s="4" t="s">
        <v>53</v>
      </c>
      <c r="B5" s="7">
        <v>3200000</v>
      </c>
      <c r="C5" s="10">
        <v>0.1</v>
      </c>
      <c r="D5" s="8">
        <f>B5*(1-C5)</f>
        <v>2880000</v>
      </c>
      <c r="E5" s="8">
        <f>D5*19%</f>
        <v>547200</v>
      </c>
      <c r="F5" s="8">
        <f>SUM(D5,E5)</f>
        <v>3427200</v>
      </c>
      <c r="G5" s="11"/>
    </row>
    <row r="6" spans="1:7" x14ac:dyDescent="0.25">
      <c r="A6" s="4" t="s">
        <v>54</v>
      </c>
      <c r="B6" s="7">
        <v>780000</v>
      </c>
      <c r="C6" s="10">
        <v>0.05</v>
      </c>
      <c r="D6" s="8">
        <f t="shared" ref="D6:D9" si="0">B6*(1-C6)</f>
        <v>741000</v>
      </c>
      <c r="E6" s="8">
        <f t="shared" ref="E6:E9" si="1">D6*19%</f>
        <v>140790</v>
      </c>
      <c r="F6" s="8">
        <f t="shared" ref="F6:F9" si="2">SUM(D6,E6)</f>
        <v>881790</v>
      </c>
      <c r="G6" s="11"/>
    </row>
    <row r="7" spans="1:7" x14ac:dyDescent="0.25">
      <c r="A7" s="4" t="s">
        <v>55</v>
      </c>
      <c r="B7" s="7">
        <v>95000</v>
      </c>
      <c r="C7" s="10">
        <v>0</v>
      </c>
      <c r="D7" s="8">
        <f t="shared" si="0"/>
        <v>95000</v>
      </c>
      <c r="E7" s="8">
        <f t="shared" si="1"/>
        <v>18050</v>
      </c>
      <c r="F7" s="8">
        <f t="shared" si="2"/>
        <v>113050</v>
      </c>
      <c r="G7" s="11"/>
    </row>
    <row r="8" spans="1:7" x14ac:dyDescent="0.25">
      <c r="A8" s="4" t="s">
        <v>56</v>
      </c>
      <c r="B8" s="7">
        <v>45000</v>
      </c>
      <c r="C8" s="10">
        <v>0.15</v>
      </c>
      <c r="D8" s="8">
        <f t="shared" si="0"/>
        <v>38250</v>
      </c>
      <c r="E8" s="8">
        <f t="shared" si="1"/>
        <v>7267.5</v>
      </c>
      <c r="F8" s="8">
        <f t="shared" si="2"/>
        <v>45517.5</v>
      </c>
      <c r="G8" s="11"/>
    </row>
    <row r="9" spans="1:7" x14ac:dyDescent="0.25">
      <c r="A9" s="4" t="s">
        <v>57</v>
      </c>
      <c r="B9" s="7">
        <v>650000</v>
      </c>
      <c r="C9" s="10">
        <v>0.08</v>
      </c>
      <c r="D9" s="8">
        <f t="shared" si="0"/>
        <v>598000</v>
      </c>
      <c r="E9" s="8">
        <f t="shared" si="1"/>
        <v>113620</v>
      </c>
      <c r="F9" s="8">
        <f t="shared" si="2"/>
        <v>711620</v>
      </c>
      <c r="G9" s="11"/>
    </row>
    <row r="12" spans="1:7" x14ac:dyDescent="0.25">
      <c r="A12" s="5" t="s">
        <v>96</v>
      </c>
      <c r="D12" s="2" t="s">
        <v>97</v>
      </c>
    </row>
    <row r="13" spans="1:7" x14ac:dyDescent="0.25">
      <c r="A13" t="s">
        <v>98</v>
      </c>
      <c r="B13" s="11">
        <v>15000000</v>
      </c>
    </row>
    <row r="14" spans="1:7" x14ac:dyDescent="0.25">
      <c r="A14" t="s">
        <v>99</v>
      </c>
      <c r="B14" s="12">
        <v>1.7999999999999999E-2</v>
      </c>
    </row>
    <row r="15" spans="1:7" x14ac:dyDescent="0.25">
      <c r="A15" t="s">
        <v>100</v>
      </c>
      <c r="B15">
        <v>24</v>
      </c>
    </row>
    <row r="16" spans="1:7" x14ac:dyDescent="0.25">
      <c r="A16" s="5" t="s">
        <v>101</v>
      </c>
      <c r="B16" s="8">
        <f>PMT(B14,B15,-B13)</f>
        <v>775212.52522671269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Indice</vt:lpstr>
      <vt:lpstr>1_Gastos_Basico</vt:lpstr>
      <vt:lpstr>5_Fechas_Texto</vt:lpstr>
      <vt:lpstr>9_Funciones_Financieras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ESTUDIANTES</cp:lastModifiedBy>
  <cp:revision>0</cp:revision>
  <dcterms:created xsi:type="dcterms:W3CDTF">2026-09-19T13:04:39Z</dcterms:created>
  <dcterms:modified xsi:type="dcterms:W3CDTF">2026-09-19T15:10:03Z</dcterms:modified>
  <dc:language>en-US</dc:language>
</cp:coreProperties>
</file>